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My Prep\Plans\"/>
    </mc:Choice>
  </mc:AlternateContent>
  <xr:revisionPtr revIDLastSave="0" documentId="13_ncr:1_{8856999D-8614-453A-BEDB-5D89DCEAA079}" xr6:coauthVersionLast="47" xr6:coauthVersionMax="47" xr10:uidLastSave="{00000000-0000-0000-0000-000000000000}"/>
  <bookViews>
    <workbookView xWindow="28680" yWindow="-120" windowWidth="29040" windowHeight="15720" tabRatio="500" activeTab="1" xr2:uid="{00000000-000D-0000-FFFF-FFFF00000000}"/>
  </bookViews>
  <sheets>
    <sheet name="Weekly Tracker" sheetId="1" r:id="rId1"/>
    <sheet name="Dashboard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7" i="2" l="1"/>
  <c r="E6" i="2"/>
  <c r="B6" i="2"/>
  <c r="E5" i="2"/>
  <c r="B5" i="2"/>
  <c r="E4" i="2"/>
  <c r="B4" i="2"/>
  <c r="B8" i="2" s="1"/>
  <c r="E3" i="2"/>
  <c r="B3" i="2"/>
</calcChain>
</file>

<file path=xl/sharedStrings.xml><?xml version="1.0" encoding="utf-8"?>
<sst xmlns="http://schemas.openxmlformats.org/spreadsheetml/2006/main" count="390" uniqueCount="245">
  <si>
    <t>Target Index</t>
  </si>
  <si>
    <t>Week #</t>
  </si>
  <si>
    <t>Month</t>
  </si>
  <si>
    <t>Phase</t>
  </si>
  <si>
    <t>Focus Area</t>
  </si>
  <si>
    <t>Weekday Tasks (1-2 hrs/day)</t>
  </si>
  <si>
    <t>Weekend Target / Milestone (4-6 hrs)</t>
  </si>
  <si>
    <t>Status</t>
  </si>
  <si>
    <t>Notes / Blockers</t>
  </si>
  <si>
    <t>Week 1</t>
  </si>
  <si>
    <t>Month 1</t>
  </si>
  <si>
    <t>Phase 1: Engineering Foundations</t>
  </si>
  <si>
    <t>Language setup &amp; syntax basics</t>
  </si>
  <si>
    <t>Install IDE/JDK or Python; daily syntax drills (variables, loops, conditionals)</t>
  </si>
  <si>
    <t>Write 10 small syntax practice programs; set up GitHub repo for practice code</t>
  </si>
  <si>
    <t>Not Started</t>
  </si>
  <si>
    <t>Week 2</t>
  </si>
  <si>
    <t>Control flow &amp; collections</t>
  </si>
  <si>
    <t>Practice arrays/lists, maps/dictionaries, sets; daily 30-min coding drill</t>
  </si>
  <si>
    <t>Build a program that processes a list of test data records (dedupe, sort, filter)</t>
  </si>
  <si>
    <t>Week 3</t>
  </si>
  <si>
    <t>OOP fundamentals I</t>
  </si>
  <si>
    <t>Classes, objects, encapsulation; daily small class-design exercises</t>
  </si>
  <si>
    <t>Model a 'TestCase' and 'TestSuite' class with attributes and methods</t>
  </si>
  <si>
    <t>Week 4</t>
  </si>
  <si>
    <t>OOP fundamentals II</t>
  </si>
  <si>
    <t>Inheritance, polymorphism, interfaces</t>
  </si>
  <si>
    <t>Extend Week 3 model with subclasses (UITestCase, APITestCase) using inheritance</t>
  </si>
  <si>
    <t>Week 5</t>
  </si>
  <si>
    <t>Month 2</t>
  </si>
  <si>
    <t>Exception handling &amp; file I/O</t>
  </si>
  <si>
    <t>Custom exceptions, try/catch patterns; reading CSV/JSON files</t>
  </si>
  <si>
    <t>Build a script that reads test data from CSV and handles malformed rows gracefully</t>
  </si>
  <si>
    <t>Week 6</t>
  </si>
  <si>
    <t>HTTP &amp; API fundamentals</t>
  </si>
  <si>
    <t>HTTP verbs/status codes/headers; call a REST API from code (not Postman)</t>
  </si>
  <si>
    <t>Write a script that calls a public API (reqres.in) and prints structured results</t>
  </si>
  <si>
    <t>Week 7</t>
  </si>
  <si>
    <t>SQL fundamentals</t>
  </si>
  <si>
    <t>SELECT, JOIN, GROUP BY, subqueries on a sandbox DB</t>
  </si>
  <si>
    <t>Write 10 validation queries against a sample e-commerce schema</t>
  </si>
  <si>
    <t>Week 8</t>
  </si>
  <si>
    <t>SQL advanced + MongoDB basics</t>
  </si>
  <si>
    <t>Window functions; MongoDB find/aggregate basics</t>
  </si>
  <si>
    <t>Write 3 complex validation queries + 3 MongoDB queries on sample data</t>
  </si>
  <si>
    <t>Week 9</t>
  </si>
  <si>
    <t>Month 3</t>
  </si>
  <si>
    <t>Clean code &amp; design patterns I</t>
  </si>
  <si>
    <t>Naming, single-responsibility functions; Factory &amp; Singleton patterns</t>
  </si>
  <si>
    <t>Refactor Week 5-6 scripts using clean code principles</t>
  </si>
  <si>
    <t>Week 10</t>
  </si>
  <si>
    <t>Page Object Model + Git</t>
  </si>
  <si>
    <t>POM concept; Git branching, pull requests, resolving conflicts</t>
  </si>
  <si>
    <t>Create a GitHub repo with proper branching workflow for practice code</t>
  </si>
  <si>
    <t>Week 11</t>
  </si>
  <si>
    <t>Milestone project build</t>
  </si>
  <si>
    <t>Build: CSV -&gt; API call -&gt; validate -&gt; log results console app</t>
  </si>
  <si>
    <t>Complete first full working version of the milestone project</t>
  </si>
  <si>
    <t>Week 12</t>
  </si>
  <si>
    <t>Milestone project polish</t>
  </si>
  <si>
    <t>Review, refactor, add exception handling + README documentation</t>
  </si>
  <si>
    <t>TARGET: Phase 1 milestone project pushed to GitHub with clear README</t>
  </si>
  <si>
    <t>Week 13</t>
  </si>
  <si>
    <t>Month 4</t>
  </si>
  <si>
    <t>Phase 2: Automation Engineering</t>
  </si>
  <si>
    <t>Playwright basics</t>
  </si>
  <si>
    <t>Install Playwright; write first scripts using locators and actions</t>
  </si>
  <si>
    <t>Automate login + navigation flow on a demo site (saucedemo.com)</t>
  </si>
  <si>
    <t>Week 14</t>
  </si>
  <si>
    <t>Playwright advanced</t>
  </si>
  <si>
    <t>Auto-waiting, assertions, fixtures, test hooks</t>
  </si>
  <si>
    <t>Automate a full checkout flow with assertions at each step</t>
  </si>
  <si>
    <t>Week 15</t>
  </si>
  <si>
    <t>Framework architecture design</t>
  </si>
  <si>
    <t>Plan layered design: Test / Page / Utility / Config layers</t>
  </si>
  <si>
    <t>Draft framework architecture diagram + folder structure on paper/doc</t>
  </si>
  <si>
    <t>Week 16</t>
  </si>
  <si>
    <t>Page Object Model implementation</t>
  </si>
  <si>
    <t>Implement POM layer for demo site flows</t>
  </si>
  <si>
    <t>Refactor Week 13-14 scripts into a proper POM structure</t>
  </si>
  <si>
    <t>Week 17</t>
  </si>
  <si>
    <t>Month 5</t>
  </si>
  <si>
    <t>Test data management</t>
  </si>
  <si>
    <t>Fixtures, data builders, avoiding hardcoded data</t>
  </si>
  <si>
    <t>Add a data builder/fixture layer to your framework</t>
  </si>
  <si>
    <t>Week 18</t>
  </si>
  <si>
    <t>Reporting integration</t>
  </si>
  <si>
    <t>Integrate Allure or Extent Reports</t>
  </si>
  <si>
    <t>Generate a full HTML test report from a framework run</t>
  </si>
  <si>
    <t>Week 19</t>
  </si>
  <si>
    <t>Parallel &amp; cross-browser execution</t>
  </si>
  <si>
    <t>Configure parallel test execution; run on Chromium + Firefox</t>
  </si>
  <si>
    <t>Confirm suite runs in parallel across 2 browsers successfully</t>
  </si>
  <si>
    <t>Week 20</t>
  </si>
  <si>
    <t>Flaky test diagnosis</t>
  </si>
  <si>
    <t>Study race conditions, improper waits, test isolation issues</t>
  </si>
  <si>
    <t>Intentionally break a test, diagnose root cause, document the fix</t>
  </si>
  <si>
    <t>Week 21</t>
  </si>
  <si>
    <t>Month 6</t>
  </si>
  <si>
    <t>API automation basics</t>
  </si>
  <si>
    <t>Rest Assured / Playwright API / Python requests + pytest setup</t>
  </si>
  <si>
    <t>Automate 5 CRUD API test cases for a public API</t>
  </si>
  <si>
    <t>Week 22</t>
  </si>
  <si>
    <t>Auth testing &amp; schema validation</t>
  </si>
  <si>
    <t>API key/OAuth2/session auth testing; JSON Schema validation</t>
  </si>
  <si>
    <t>Add auth test cases + schema validation checks to API suite</t>
  </si>
  <si>
    <t>Week 23</t>
  </si>
  <si>
    <t>Contract testing + CI setup</t>
  </si>
  <si>
    <t>Pact concept overview; set up GitHub Actions workflow YAML</t>
  </si>
  <si>
    <t>Get a basic GitHub Actions pipeline running your API suite on push</t>
  </si>
  <si>
    <t>Week 24</t>
  </si>
  <si>
    <t>Full framework + CI integration</t>
  </si>
  <si>
    <t>Merge UI + API suites into CI pipeline with reporting</t>
  </si>
  <si>
    <t>TARGET: Project 1 (UI+API framework with CI) complete on GitHub</t>
  </si>
  <si>
    <t>Week 25</t>
  </si>
  <si>
    <t>Month 7</t>
  </si>
  <si>
    <t>Phase 3: Performance, Security, DB Depth</t>
  </si>
  <si>
    <t>Performance testing concepts</t>
  </si>
  <si>
    <t>Load, stress, spike, soak, scalability testing definitions</t>
  </si>
  <si>
    <t>Write a 1-page comparison of when to use each performance test type</t>
  </si>
  <si>
    <t>Week 26</t>
  </si>
  <si>
    <t>k6 basics</t>
  </si>
  <si>
    <t>Install k6; write first load test script against your API</t>
  </si>
  <si>
    <t>Run a basic load test against your Project 2 API and capture results</t>
  </si>
  <si>
    <t>Week 27</t>
  </si>
  <si>
    <t>k6 advanced</t>
  </si>
  <si>
    <t>Thresholds, stages, ramping load patterns</t>
  </si>
  <si>
    <t>Build a spike test scenario and a soak test scenario in k6</t>
  </si>
  <si>
    <t>Week 28</t>
  </si>
  <si>
    <t>Performance analysis &amp; reporting</t>
  </si>
  <si>
    <t>Analyze p50/p95/p99 latency, throughput, error rate</t>
  </si>
  <si>
    <t>TARGET: Complete Project 4 performance report with graphs and analysis</t>
  </si>
  <si>
    <t>Week 29</t>
  </si>
  <si>
    <t>Month 8</t>
  </si>
  <si>
    <t>OWASP Top 10 (part 1)</t>
  </si>
  <si>
    <t>Injection, broken authentication concepts + basic test approach</t>
  </si>
  <si>
    <t>Write test cases for 2 OWASP categories against your API</t>
  </si>
  <si>
    <t>Week 30</t>
  </si>
  <si>
    <t>OWASP Top 10 (part 2)</t>
  </si>
  <si>
    <t>Broken access control, security misconfiguration</t>
  </si>
  <si>
    <t>Write test cases for 2 more OWASP categories</t>
  </si>
  <si>
    <t>Week 31</t>
  </si>
  <si>
    <t>Authorization/IDOR testing</t>
  </si>
  <si>
    <t>Hands-on IDOR testing against your API suite</t>
  </si>
  <si>
    <t>Add 3-5 IDOR/authorization test cases to Project 2</t>
  </si>
  <si>
    <t>Week 32</t>
  </si>
  <si>
    <t>Session &amp; API security testing</t>
  </si>
  <si>
    <t>Session fixation, token expiry, rate limiting, data exposure checks</t>
  </si>
  <si>
    <t>Add session + rate-limit test cases to your API suite</t>
  </si>
  <si>
    <t>Week 33</t>
  </si>
  <si>
    <t>Month 9</t>
  </si>
  <si>
    <t>Security tooling basics</t>
  </si>
  <si>
    <t>Burp Suite Community / OWASP ZAP: intercept &amp; modify requests</t>
  </si>
  <si>
    <t>Intercept and modify 3 requests manually to test validation handling</t>
  </si>
  <si>
    <t>Week 34</t>
  </si>
  <si>
    <t>Advanced SQL for data integrity</t>
  </si>
  <si>
    <t>Multi-table joins, orphaned records, duplicate detection queries</t>
  </si>
  <si>
    <t>Write 5 data integrity validation queries against sample schema</t>
  </si>
  <si>
    <t>Week 35</t>
  </si>
  <si>
    <t>MongoDB aggregation &amp; schema-less validation</t>
  </si>
  <si>
    <t>Aggregation pipeline stages; schema-less data validation challenges</t>
  </si>
  <si>
    <t>Write 3 MongoDB aggregation queries for data validation scenarios</t>
  </si>
  <si>
    <t>Week 36</t>
  </si>
  <si>
    <t>Phase 3 consolidation</t>
  </si>
  <si>
    <t>Merge security + DB validation tests into Project 2</t>
  </si>
  <si>
    <t>TARGET: Security, performance, and DB tests merged into portfolio projects</t>
  </si>
  <si>
    <t>Week 37</t>
  </si>
  <si>
    <t>Month 10</t>
  </si>
  <si>
    <t>Phase 4: AI-Native QA + Portfolio</t>
  </si>
  <si>
    <t>Prompt engineering for QA</t>
  </si>
  <si>
    <t>Learn structured prompting: context, constraints, explicit ask</t>
  </si>
  <si>
    <t>Write 5 prompts to generate edge-case test scenarios from a sample requirement</t>
  </si>
  <si>
    <t>Week 38</t>
  </si>
  <si>
    <t>AI-assisted test generation</t>
  </si>
  <si>
    <t>Use Claude/Copilot to draft test scripts; practice reviewing/correcting output</t>
  </si>
  <si>
    <t>Draft 5 test cases with AI, then document your review/correction process</t>
  </si>
  <si>
    <t>Week 39</t>
  </si>
  <si>
    <t>AI-assisted maintenance &amp; debugging</t>
  </si>
  <si>
    <t>Use AI to fix broken locators/assertions and debug stack traces</t>
  </si>
  <si>
    <t>Break a test on purpose, use AI to help diagnose and fix it, verify manually</t>
  </si>
  <si>
    <t>Week 40</t>
  </si>
  <si>
    <t>AI testing tools landscape</t>
  </si>
  <si>
    <t>Research self-healing tools, AI code review assistants</t>
  </si>
  <si>
    <t>Write a short comparison doc of 3 AI testing tools and their real capabilities</t>
  </si>
  <si>
    <t>Week 41</t>
  </si>
  <si>
    <t>Month 11</t>
  </si>
  <si>
    <t>Testing AI/ML applications</t>
  </si>
  <si>
    <t>Non-determinism in AI output; evaluation basics (golden datasets, rubrics)</t>
  </si>
  <si>
    <t>Design an evaluation rubric for a hypothetical AI feature</t>
  </si>
  <si>
    <t>Week 42</t>
  </si>
  <si>
    <t>AI/LLM test project - start</t>
  </si>
  <si>
    <t>Build or use a simple prompt-based feature; start test plan</t>
  </si>
  <si>
    <t>Start Project 5: draft test strategy for non-deterministic output</t>
  </si>
  <si>
    <t>Week 43</t>
  </si>
  <si>
    <t>Prompt testing &amp; output validation</t>
  </si>
  <si>
    <t>Implement prompt variation tests; validate output format/accuracy</t>
  </si>
  <si>
    <t>Implement 5-8 automated checks for AI output validation</t>
  </si>
  <si>
    <t>Week 44</t>
  </si>
  <si>
    <t>Responsible AI testing</t>
  </si>
  <si>
    <t>Bias/safety checks; refusal behavior testing where expected</t>
  </si>
  <si>
    <t>TARGET: Complete Project 5 (AI/LLM testing project) with documentation</t>
  </si>
  <si>
    <t>Week 45</t>
  </si>
  <si>
    <t>Month 12</t>
  </si>
  <si>
    <t>Mobile automation basics</t>
  </si>
  <si>
    <t>Appium setup; simple Android/iOS test concepts</t>
  </si>
  <si>
    <t>Automate one simple flow on a demo mobile app with Appium</t>
  </si>
  <si>
    <t>Week 46</t>
  </si>
  <si>
    <t>Portfolio polish</t>
  </si>
  <si>
    <t>Documentation pass across all projects; clean up READMEs</t>
  </si>
  <si>
    <t>All 5 portfolio projects have clear, professional documentation</t>
  </si>
  <si>
    <t>Week 47</t>
  </si>
  <si>
    <t>Resume &amp; profile update</t>
  </si>
  <si>
    <t>Update resume/LinkedIn to reflect new skill stack and projects</t>
  </si>
  <si>
    <t>Resume and LinkedIn updated with quantifiable project outcomes</t>
  </si>
  <si>
    <t>Week 48</t>
  </si>
  <si>
    <t>Mock interviews I</t>
  </si>
  <si>
    <t>Practice technical &amp; automation framework questions</t>
  </si>
  <si>
    <t>Complete 2 mock interview sessions on technical/automation topics</t>
  </si>
  <si>
    <t>Week 49</t>
  </si>
  <si>
    <t>Mock interviews II</t>
  </si>
  <si>
    <t>Practice scenario-based, SQL, and CI/CD questions</t>
  </si>
  <si>
    <t>Complete 2 mock interview sessions on scenario/SQL/CI-CD topics</t>
  </si>
  <si>
    <t>Week 50</t>
  </si>
  <si>
    <t>Mock interviews III</t>
  </si>
  <si>
    <t>Practice leadership/communication questions; rehearse project walkthroughs</t>
  </si>
  <si>
    <t>Deliver a confident 5-minute walkthrough of each portfolio project</t>
  </si>
  <si>
    <t>Week 51</t>
  </si>
  <si>
    <t>Job search / internal transition prep</t>
  </si>
  <si>
    <t>Apply to mid-level roles or prepare internal promotion conversation</t>
  </si>
  <si>
    <t>Submit applications or schedule a promotion discussion with your manager</t>
  </si>
  <si>
    <t>Week 52</t>
  </si>
  <si>
    <t>Full retrospective</t>
  </si>
  <si>
    <t>Review learning log; identify remaining gaps; plan next 90 days</t>
  </si>
  <si>
    <t>TARGET: Ready for Mid-Level SQA interviews with full portfolio and plan for what's next</t>
  </si>
  <si>
    <t>12-Month SQA Roadmap - Progress Dashboard</t>
  </si>
  <si>
    <t>Metric</t>
  </si>
  <si>
    <t>Value</t>
  </si>
  <si>
    <t>Completion %</t>
  </si>
  <si>
    <t>Total Weeks</t>
  </si>
  <si>
    <t>Completed</t>
  </si>
  <si>
    <t>In Progress</t>
  </si>
  <si>
    <t>Blocked</t>
  </si>
  <si>
    <t>Overall Completion %</t>
  </si>
  <si>
    <t>Legend: Update the 'Status' column in the Weekly Tracker sheet each week.</t>
  </si>
  <si>
    <t>This dashboard recalculates automatically from that column.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</si>
</sst>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b/>
      <sz val="11"/>
      <name val="Arial"/>
      <charset val="1"/>
    </font>
    <font>
      <sz val="11"/>
      <name val="Arial"/>
      <charset val="1"/>
    </font>
    <font>
      <sz val="10"/>
      <name val="Arial"/>
      <charset val="1"/>
    </font>
    <font>
      <b/>
      <sz val="16"/>
      <color rgb="FF1F4E78"/>
      <name val="Arial"/>
      <charset val="1"/>
    </font>
    <font>
      <i/>
      <sz val="10"/>
      <color rgb="FF666666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8FB"/>
        <bgColor rgb="FFD9F2E6"/>
      </patternFill>
    </fill>
    <fill>
      <patternFill patternType="solid">
        <fgColor rgb="FFD9F2E6"/>
        <bgColor rgb="FFD9E8FB"/>
      </patternFill>
    </fill>
    <fill>
      <patternFill patternType="solid">
        <fgColor rgb="FFFDECD8"/>
        <bgColor rgb="FFF0DFF5"/>
      </patternFill>
    </fill>
    <fill>
      <patternFill patternType="solid">
        <fgColor rgb="FFF0DFF5"/>
        <bgColor rgb="FFD9E8FB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5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3" fillId="3" borderId="1" xfId="0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vertical="top" wrapText="1"/>
    </xf>
    <xf numFmtId="0" fontId="3" fillId="4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left" vertical="top" wrapText="1"/>
    </xf>
    <xf numFmtId="0" fontId="3" fillId="6" borderId="1" xfId="0" applyFont="1" applyFill="1" applyBorder="1" applyAlignment="1">
      <alignment horizontal="left" vertical="top" wrapText="1"/>
    </xf>
    <xf numFmtId="0" fontId="2" fillId="0" borderId="0" xfId="0" applyFont="1"/>
    <xf numFmtId="0" fontId="3" fillId="0" borderId="0" xfId="0" applyFont="1"/>
    <xf numFmtId="164" fontId="3" fillId="0" borderId="0" xfId="0" applyNumberFormat="1" applyFont="1"/>
    <xf numFmtId="164" fontId="2" fillId="0" borderId="0" xfId="0" applyNumberFormat="1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DECD8"/>
      <rgbColor rgb="FFD9F2E6"/>
      <rgbColor rgb="FF660066"/>
      <rgbColor rgb="FFFF8080"/>
      <rgbColor rgb="FF0066CC"/>
      <rgbColor rgb="FFF0DF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8FB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3"/>
  <sheetViews>
    <sheetView zoomScaleNormal="100" workbookViewId="0">
      <pane ySplit="1" topLeftCell="A2" activePane="bottomLeft" state="frozen"/>
      <selection pane="bottomLeft" activeCell="H2" sqref="H2:H53"/>
    </sheetView>
  </sheetViews>
  <sheetFormatPr defaultColWidth="8.6328125" defaultRowHeight="14.5" x14ac:dyDescent="0.35"/>
  <cols>
    <col min="1" max="1" width="12" customWidth="1"/>
    <col min="2" max="2" width="9" customWidth="1"/>
    <col min="3" max="3" width="10" customWidth="1"/>
    <col min="4" max="4" width="30" customWidth="1"/>
    <col min="5" max="5" width="26" customWidth="1"/>
    <col min="6" max="7" width="42" customWidth="1"/>
    <col min="8" max="8" width="14" customWidth="1"/>
    <col min="9" max="9" width="28" customWidth="1"/>
  </cols>
  <sheetData>
    <row r="1" spans="1:9" ht="33.75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45.75" customHeight="1" x14ac:dyDescent="0.35">
      <c r="A2" s="3">
        <v>1</v>
      </c>
      <c r="B2" s="4" t="s">
        <v>9</v>
      </c>
      <c r="C2" s="4" t="s">
        <v>10</v>
      </c>
      <c r="D2" s="5" t="s">
        <v>11</v>
      </c>
      <c r="E2" s="6" t="s">
        <v>12</v>
      </c>
      <c r="F2" s="7" t="s">
        <v>13</v>
      </c>
      <c r="G2" s="7" t="s">
        <v>14</v>
      </c>
      <c r="H2" s="4" t="s">
        <v>240</v>
      </c>
      <c r="I2" s="7"/>
    </row>
    <row r="3" spans="1:9" ht="45.75" customHeight="1" x14ac:dyDescent="0.35">
      <c r="A3" s="3">
        <v>2</v>
      </c>
      <c r="B3" s="4" t="s">
        <v>16</v>
      </c>
      <c r="C3" s="4" t="s">
        <v>10</v>
      </c>
      <c r="D3" s="5" t="s">
        <v>11</v>
      </c>
      <c r="E3" s="6" t="s">
        <v>17</v>
      </c>
      <c r="F3" s="7" t="s">
        <v>18</v>
      </c>
      <c r="G3" s="7" t="s">
        <v>19</v>
      </c>
      <c r="H3" s="4" t="s">
        <v>15</v>
      </c>
      <c r="I3" s="7"/>
    </row>
    <row r="4" spans="1:9" ht="45.75" customHeight="1" x14ac:dyDescent="0.35">
      <c r="A4" s="3">
        <v>3</v>
      </c>
      <c r="B4" s="4" t="s">
        <v>20</v>
      </c>
      <c r="C4" s="4" t="s">
        <v>10</v>
      </c>
      <c r="D4" s="5" t="s">
        <v>11</v>
      </c>
      <c r="E4" s="6" t="s">
        <v>21</v>
      </c>
      <c r="F4" s="7" t="s">
        <v>22</v>
      </c>
      <c r="G4" s="7" t="s">
        <v>23</v>
      </c>
      <c r="H4" s="4" t="s">
        <v>15</v>
      </c>
      <c r="I4" s="7"/>
    </row>
    <row r="5" spans="1:9" ht="45.75" customHeight="1" x14ac:dyDescent="0.35">
      <c r="A5" s="3">
        <v>4</v>
      </c>
      <c r="B5" s="4" t="s">
        <v>24</v>
      </c>
      <c r="C5" s="4" t="s">
        <v>10</v>
      </c>
      <c r="D5" s="5" t="s">
        <v>11</v>
      </c>
      <c r="E5" s="6" t="s">
        <v>25</v>
      </c>
      <c r="F5" s="7" t="s">
        <v>26</v>
      </c>
      <c r="G5" s="7" t="s">
        <v>27</v>
      </c>
      <c r="H5" s="4" t="s">
        <v>15</v>
      </c>
      <c r="I5" s="7"/>
    </row>
    <row r="6" spans="1:9" ht="45.75" customHeight="1" x14ac:dyDescent="0.35">
      <c r="A6" s="3">
        <v>5</v>
      </c>
      <c r="B6" s="4" t="s">
        <v>28</v>
      </c>
      <c r="C6" s="4" t="s">
        <v>29</v>
      </c>
      <c r="D6" s="5" t="s">
        <v>11</v>
      </c>
      <c r="E6" s="6" t="s">
        <v>30</v>
      </c>
      <c r="F6" s="7" t="s">
        <v>31</v>
      </c>
      <c r="G6" s="7" t="s">
        <v>32</v>
      </c>
      <c r="H6" s="4" t="s">
        <v>15</v>
      </c>
      <c r="I6" s="7"/>
    </row>
    <row r="7" spans="1:9" ht="45.75" customHeight="1" x14ac:dyDescent="0.35">
      <c r="A7" s="3">
        <v>6</v>
      </c>
      <c r="B7" s="4" t="s">
        <v>33</v>
      </c>
      <c r="C7" s="4" t="s">
        <v>29</v>
      </c>
      <c r="D7" s="5" t="s">
        <v>11</v>
      </c>
      <c r="E7" s="6" t="s">
        <v>34</v>
      </c>
      <c r="F7" s="7" t="s">
        <v>35</v>
      </c>
      <c r="G7" s="7" t="s">
        <v>36</v>
      </c>
      <c r="H7" s="4" t="s">
        <v>15</v>
      </c>
      <c r="I7" s="7"/>
    </row>
    <row r="8" spans="1:9" ht="45.75" customHeight="1" x14ac:dyDescent="0.35">
      <c r="A8" s="3">
        <v>7</v>
      </c>
      <c r="B8" s="4" t="s">
        <v>37</v>
      </c>
      <c r="C8" s="4" t="s">
        <v>29</v>
      </c>
      <c r="D8" s="5" t="s">
        <v>11</v>
      </c>
      <c r="E8" s="6" t="s">
        <v>38</v>
      </c>
      <c r="F8" s="7" t="s">
        <v>39</v>
      </c>
      <c r="G8" s="7" t="s">
        <v>40</v>
      </c>
      <c r="H8" s="4" t="s">
        <v>15</v>
      </c>
      <c r="I8" s="7"/>
    </row>
    <row r="9" spans="1:9" ht="45.75" customHeight="1" x14ac:dyDescent="0.35">
      <c r="A9" s="3">
        <v>8</v>
      </c>
      <c r="B9" s="4" t="s">
        <v>41</v>
      </c>
      <c r="C9" s="4" t="s">
        <v>29</v>
      </c>
      <c r="D9" s="5" t="s">
        <v>11</v>
      </c>
      <c r="E9" s="6" t="s">
        <v>42</v>
      </c>
      <c r="F9" s="7" t="s">
        <v>43</v>
      </c>
      <c r="G9" s="7" t="s">
        <v>44</v>
      </c>
      <c r="H9" s="4" t="s">
        <v>15</v>
      </c>
      <c r="I9" s="7"/>
    </row>
    <row r="10" spans="1:9" ht="45.75" customHeight="1" x14ac:dyDescent="0.35">
      <c r="A10" s="3">
        <v>9</v>
      </c>
      <c r="B10" s="4" t="s">
        <v>45</v>
      </c>
      <c r="C10" s="4" t="s">
        <v>46</v>
      </c>
      <c r="D10" s="5" t="s">
        <v>11</v>
      </c>
      <c r="E10" s="6" t="s">
        <v>47</v>
      </c>
      <c r="F10" s="7" t="s">
        <v>48</v>
      </c>
      <c r="G10" s="7" t="s">
        <v>49</v>
      </c>
      <c r="H10" s="4" t="s">
        <v>15</v>
      </c>
      <c r="I10" s="7"/>
    </row>
    <row r="11" spans="1:9" ht="45.75" customHeight="1" x14ac:dyDescent="0.35">
      <c r="A11" s="3">
        <v>10</v>
      </c>
      <c r="B11" s="4" t="s">
        <v>50</v>
      </c>
      <c r="C11" s="4" t="s">
        <v>46</v>
      </c>
      <c r="D11" s="5" t="s">
        <v>11</v>
      </c>
      <c r="E11" s="6" t="s">
        <v>51</v>
      </c>
      <c r="F11" s="7" t="s">
        <v>52</v>
      </c>
      <c r="G11" s="7" t="s">
        <v>53</v>
      </c>
      <c r="H11" s="4" t="s">
        <v>15</v>
      </c>
      <c r="I11" s="7"/>
    </row>
    <row r="12" spans="1:9" ht="45.75" customHeight="1" x14ac:dyDescent="0.35">
      <c r="A12" s="3">
        <v>11</v>
      </c>
      <c r="B12" s="4" t="s">
        <v>54</v>
      </c>
      <c r="C12" s="4" t="s">
        <v>46</v>
      </c>
      <c r="D12" s="5" t="s">
        <v>11</v>
      </c>
      <c r="E12" s="6" t="s">
        <v>55</v>
      </c>
      <c r="F12" s="7" t="s">
        <v>56</v>
      </c>
      <c r="G12" s="7" t="s">
        <v>57</v>
      </c>
      <c r="H12" s="4" t="s">
        <v>15</v>
      </c>
      <c r="I12" s="7"/>
    </row>
    <row r="13" spans="1:9" ht="45.75" customHeight="1" x14ac:dyDescent="0.35">
      <c r="A13" s="3">
        <v>12</v>
      </c>
      <c r="B13" s="4" t="s">
        <v>58</v>
      </c>
      <c r="C13" s="4" t="s">
        <v>46</v>
      </c>
      <c r="D13" s="5" t="s">
        <v>11</v>
      </c>
      <c r="E13" s="6" t="s">
        <v>59</v>
      </c>
      <c r="F13" s="7" t="s">
        <v>60</v>
      </c>
      <c r="G13" s="7" t="s">
        <v>61</v>
      </c>
      <c r="H13" s="4" t="s">
        <v>15</v>
      </c>
      <c r="I13" s="7"/>
    </row>
    <row r="14" spans="1:9" ht="45.75" customHeight="1" x14ac:dyDescent="0.35">
      <c r="A14" s="3">
        <v>13</v>
      </c>
      <c r="B14" s="4" t="s">
        <v>62</v>
      </c>
      <c r="C14" s="4" t="s">
        <v>63</v>
      </c>
      <c r="D14" s="8" t="s">
        <v>64</v>
      </c>
      <c r="E14" s="6" t="s">
        <v>65</v>
      </c>
      <c r="F14" s="7" t="s">
        <v>66</v>
      </c>
      <c r="G14" s="7" t="s">
        <v>67</v>
      </c>
      <c r="H14" s="4" t="s">
        <v>15</v>
      </c>
      <c r="I14" s="7"/>
    </row>
    <row r="15" spans="1:9" ht="45.75" customHeight="1" x14ac:dyDescent="0.35">
      <c r="A15" s="3">
        <v>14</v>
      </c>
      <c r="B15" s="4" t="s">
        <v>68</v>
      </c>
      <c r="C15" s="4" t="s">
        <v>63</v>
      </c>
      <c r="D15" s="8" t="s">
        <v>64</v>
      </c>
      <c r="E15" s="6" t="s">
        <v>69</v>
      </c>
      <c r="F15" s="7" t="s">
        <v>70</v>
      </c>
      <c r="G15" s="7" t="s">
        <v>71</v>
      </c>
      <c r="H15" s="4" t="s">
        <v>15</v>
      </c>
      <c r="I15" s="7"/>
    </row>
    <row r="16" spans="1:9" ht="45.75" customHeight="1" x14ac:dyDescent="0.35">
      <c r="A16" s="3">
        <v>15</v>
      </c>
      <c r="B16" s="4" t="s">
        <v>72</v>
      </c>
      <c r="C16" s="4" t="s">
        <v>63</v>
      </c>
      <c r="D16" s="8" t="s">
        <v>64</v>
      </c>
      <c r="E16" s="6" t="s">
        <v>73</v>
      </c>
      <c r="F16" s="7" t="s">
        <v>74</v>
      </c>
      <c r="G16" s="7" t="s">
        <v>75</v>
      </c>
      <c r="H16" s="4" t="s">
        <v>15</v>
      </c>
      <c r="I16" s="7"/>
    </row>
    <row r="17" spans="1:9" ht="45.75" customHeight="1" x14ac:dyDescent="0.35">
      <c r="A17" s="3">
        <v>16</v>
      </c>
      <c r="B17" s="4" t="s">
        <v>76</v>
      </c>
      <c r="C17" s="4" t="s">
        <v>63</v>
      </c>
      <c r="D17" s="8" t="s">
        <v>64</v>
      </c>
      <c r="E17" s="6" t="s">
        <v>77</v>
      </c>
      <c r="F17" s="7" t="s">
        <v>78</v>
      </c>
      <c r="G17" s="7" t="s">
        <v>79</v>
      </c>
      <c r="H17" s="4" t="s">
        <v>15</v>
      </c>
      <c r="I17" s="7"/>
    </row>
    <row r="18" spans="1:9" ht="45.75" customHeight="1" x14ac:dyDescent="0.35">
      <c r="A18" s="3">
        <v>17</v>
      </c>
      <c r="B18" s="4" t="s">
        <v>80</v>
      </c>
      <c r="C18" s="4" t="s">
        <v>81</v>
      </c>
      <c r="D18" s="8" t="s">
        <v>64</v>
      </c>
      <c r="E18" s="6" t="s">
        <v>82</v>
      </c>
      <c r="F18" s="7" t="s">
        <v>83</v>
      </c>
      <c r="G18" s="7" t="s">
        <v>84</v>
      </c>
      <c r="H18" s="4" t="s">
        <v>15</v>
      </c>
      <c r="I18" s="7"/>
    </row>
    <row r="19" spans="1:9" ht="45.75" customHeight="1" x14ac:dyDescent="0.35">
      <c r="A19" s="3">
        <v>18</v>
      </c>
      <c r="B19" s="4" t="s">
        <v>85</v>
      </c>
      <c r="C19" s="4" t="s">
        <v>81</v>
      </c>
      <c r="D19" s="8" t="s">
        <v>64</v>
      </c>
      <c r="E19" s="6" t="s">
        <v>86</v>
      </c>
      <c r="F19" s="7" t="s">
        <v>87</v>
      </c>
      <c r="G19" s="7" t="s">
        <v>88</v>
      </c>
      <c r="H19" s="4" t="s">
        <v>15</v>
      </c>
      <c r="I19" s="7"/>
    </row>
    <row r="20" spans="1:9" ht="45.75" customHeight="1" x14ac:dyDescent="0.35">
      <c r="A20" s="3">
        <v>19</v>
      </c>
      <c r="B20" s="4" t="s">
        <v>89</v>
      </c>
      <c r="C20" s="4" t="s">
        <v>81</v>
      </c>
      <c r="D20" s="8" t="s">
        <v>64</v>
      </c>
      <c r="E20" s="6" t="s">
        <v>90</v>
      </c>
      <c r="F20" s="7" t="s">
        <v>91</v>
      </c>
      <c r="G20" s="7" t="s">
        <v>92</v>
      </c>
      <c r="H20" s="4" t="s">
        <v>15</v>
      </c>
      <c r="I20" s="7"/>
    </row>
    <row r="21" spans="1:9" ht="45.75" customHeight="1" x14ac:dyDescent="0.35">
      <c r="A21" s="3">
        <v>20</v>
      </c>
      <c r="B21" s="4" t="s">
        <v>93</v>
      </c>
      <c r="C21" s="4" t="s">
        <v>81</v>
      </c>
      <c r="D21" s="8" t="s">
        <v>64</v>
      </c>
      <c r="E21" s="6" t="s">
        <v>94</v>
      </c>
      <c r="F21" s="7" t="s">
        <v>95</v>
      </c>
      <c r="G21" s="7" t="s">
        <v>96</v>
      </c>
      <c r="H21" s="4" t="s">
        <v>15</v>
      </c>
      <c r="I21" s="7"/>
    </row>
    <row r="22" spans="1:9" ht="45.75" customHeight="1" x14ac:dyDescent="0.35">
      <c r="A22" s="3">
        <v>21</v>
      </c>
      <c r="B22" s="4" t="s">
        <v>97</v>
      </c>
      <c r="C22" s="4" t="s">
        <v>98</v>
      </c>
      <c r="D22" s="8" t="s">
        <v>64</v>
      </c>
      <c r="E22" s="6" t="s">
        <v>99</v>
      </c>
      <c r="F22" s="7" t="s">
        <v>100</v>
      </c>
      <c r="G22" s="7" t="s">
        <v>101</v>
      </c>
      <c r="H22" s="4" t="s">
        <v>15</v>
      </c>
      <c r="I22" s="7"/>
    </row>
    <row r="23" spans="1:9" ht="45.75" customHeight="1" x14ac:dyDescent="0.35">
      <c r="A23" s="3">
        <v>22</v>
      </c>
      <c r="B23" s="4" t="s">
        <v>102</v>
      </c>
      <c r="C23" s="4" t="s">
        <v>98</v>
      </c>
      <c r="D23" s="8" t="s">
        <v>64</v>
      </c>
      <c r="E23" s="6" t="s">
        <v>103</v>
      </c>
      <c r="F23" s="7" t="s">
        <v>104</v>
      </c>
      <c r="G23" s="7" t="s">
        <v>105</v>
      </c>
      <c r="H23" s="4" t="s">
        <v>15</v>
      </c>
      <c r="I23" s="7"/>
    </row>
    <row r="24" spans="1:9" ht="45.75" customHeight="1" x14ac:dyDescent="0.35">
      <c r="A24" s="3">
        <v>23</v>
      </c>
      <c r="B24" s="4" t="s">
        <v>106</v>
      </c>
      <c r="C24" s="4" t="s">
        <v>98</v>
      </c>
      <c r="D24" s="8" t="s">
        <v>64</v>
      </c>
      <c r="E24" s="6" t="s">
        <v>107</v>
      </c>
      <c r="F24" s="7" t="s">
        <v>108</v>
      </c>
      <c r="G24" s="7" t="s">
        <v>109</v>
      </c>
      <c r="H24" s="4" t="s">
        <v>15</v>
      </c>
      <c r="I24" s="7"/>
    </row>
    <row r="25" spans="1:9" ht="45.75" customHeight="1" x14ac:dyDescent="0.35">
      <c r="A25" s="3">
        <v>24</v>
      </c>
      <c r="B25" s="4" t="s">
        <v>110</v>
      </c>
      <c r="C25" s="4" t="s">
        <v>98</v>
      </c>
      <c r="D25" s="8" t="s">
        <v>64</v>
      </c>
      <c r="E25" s="6" t="s">
        <v>111</v>
      </c>
      <c r="F25" s="7" t="s">
        <v>112</v>
      </c>
      <c r="G25" s="7" t="s">
        <v>113</v>
      </c>
      <c r="H25" s="4" t="s">
        <v>15</v>
      </c>
      <c r="I25" s="7"/>
    </row>
    <row r="26" spans="1:9" ht="45.75" customHeight="1" x14ac:dyDescent="0.35">
      <c r="A26" s="3">
        <v>25</v>
      </c>
      <c r="B26" s="4" t="s">
        <v>114</v>
      </c>
      <c r="C26" s="4" t="s">
        <v>115</v>
      </c>
      <c r="D26" s="9" t="s">
        <v>116</v>
      </c>
      <c r="E26" s="6" t="s">
        <v>117</v>
      </c>
      <c r="F26" s="7" t="s">
        <v>118</v>
      </c>
      <c r="G26" s="7" t="s">
        <v>119</v>
      </c>
      <c r="H26" s="4" t="s">
        <v>15</v>
      </c>
      <c r="I26" s="7"/>
    </row>
    <row r="27" spans="1:9" ht="45.75" customHeight="1" x14ac:dyDescent="0.35">
      <c r="A27" s="3">
        <v>26</v>
      </c>
      <c r="B27" s="4" t="s">
        <v>120</v>
      </c>
      <c r="C27" s="4" t="s">
        <v>115</v>
      </c>
      <c r="D27" s="9" t="s">
        <v>116</v>
      </c>
      <c r="E27" s="6" t="s">
        <v>121</v>
      </c>
      <c r="F27" s="7" t="s">
        <v>122</v>
      </c>
      <c r="G27" s="7" t="s">
        <v>123</v>
      </c>
      <c r="H27" s="4" t="s">
        <v>15</v>
      </c>
      <c r="I27" s="7"/>
    </row>
    <row r="28" spans="1:9" ht="45.75" customHeight="1" x14ac:dyDescent="0.35">
      <c r="A28" s="3">
        <v>27</v>
      </c>
      <c r="B28" s="4" t="s">
        <v>124</v>
      </c>
      <c r="C28" s="4" t="s">
        <v>115</v>
      </c>
      <c r="D28" s="9" t="s">
        <v>116</v>
      </c>
      <c r="E28" s="6" t="s">
        <v>125</v>
      </c>
      <c r="F28" s="7" t="s">
        <v>126</v>
      </c>
      <c r="G28" s="7" t="s">
        <v>127</v>
      </c>
      <c r="H28" s="4" t="s">
        <v>15</v>
      </c>
      <c r="I28" s="7"/>
    </row>
    <row r="29" spans="1:9" ht="45.75" customHeight="1" x14ac:dyDescent="0.35">
      <c r="A29" s="3">
        <v>28</v>
      </c>
      <c r="B29" s="4" t="s">
        <v>128</v>
      </c>
      <c r="C29" s="4" t="s">
        <v>115</v>
      </c>
      <c r="D29" s="9" t="s">
        <v>116</v>
      </c>
      <c r="E29" s="6" t="s">
        <v>129</v>
      </c>
      <c r="F29" s="7" t="s">
        <v>130</v>
      </c>
      <c r="G29" s="7" t="s">
        <v>131</v>
      </c>
      <c r="H29" s="4" t="s">
        <v>15</v>
      </c>
      <c r="I29" s="7"/>
    </row>
    <row r="30" spans="1:9" ht="45.75" customHeight="1" x14ac:dyDescent="0.35">
      <c r="A30" s="3">
        <v>29</v>
      </c>
      <c r="B30" s="4" t="s">
        <v>132</v>
      </c>
      <c r="C30" s="4" t="s">
        <v>133</v>
      </c>
      <c r="D30" s="9" t="s">
        <v>116</v>
      </c>
      <c r="E30" s="6" t="s">
        <v>134</v>
      </c>
      <c r="F30" s="7" t="s">
        <v>135</v>
      </c>
      <c r="G30" s="7" t="s">
        <v>136</v>
      </c>
      <c r="H30" s="4" t="s">
        <v>15</v>
      </c>
      <c r="I30" s="7"/>
    </row>
    <row r="31" spans="1:9" ht="45.75" customHeight="1" x14ac:dyDescent="0.35">
      <c r="A31" s="3">
        <v>30</v>
      </c>
      <c r="B31" s="4" t="s">
        <v>137</v>
      </c>
      <c r="C31" s="4" t="s">
        <v>133</v>
      </c>
      <c r="D31" s="9" t="s">
        <v>116</v>
      </c>
      <c r="E31" s="6" t="s">
        <v>138</v>
      </c>
      <c r="F31" s="7" t="s">
        <v>139</v>
      </c>
      <c r="G31" s="7" t="s">
        <v>140</v>
      </c>
      <c r="H31" s="4" t="s">
        <v>15</v>
      </c>
      <c r="I31" s="7"/>
    </row>
    <row r="32" spans="1:9" ht="45.75" customHeight="1" x14ac:dyDescent="0.35">
      <c r="A32" s="3">
        <v>31</v>
      </c>
      <c r="B32" s="4" t="s">
        <v>141</v>
      </c>
      <c r="C32" s="4" t="s">
        <v>133</v>
      </c>
      <c r="D32" s="9" t="s">
        <v>116</v>
      </c>
      <c r="E32" s="6" t="s">
        <v>142</v>
      </c>
      <c r="F32" s="7" t="s">
        <v>143</v>
      </c>
      <c r="G32" s="7" t="s">
        <v>144</v>
      </c>
      <c r="H32" s="4" t="s">
        <v>15</v>
      </c>
      <c r="I32" s="7"/>
    </row>
    <row r="33" spans="1:9" ht="45.75" customHeight="1" x14ac:dyDescent="0.35">
      <c r="A33" s="3">
        <v>32</v>
      </c>
      <c r="B33" s="4" t="s">
        <v>145</v>
      </c>
      <c r="C33" s="4" t="s">
        <v>133</v>
      </c>
      <c r="D33" s="9" t="s">
        <v>116</v>
      </c>
      <c r="E33" s="6" t="s">
        <v>146</v>
      </c>
      <c r="F33" s="7" t="s">
        <v>147</v>
      </c>
      <c r="G33" s="7" t="s">
        <v>148</v>
      </c>
      <c r="H33" s="4" t="s">
        <v>15</v>
      </c>
      <c r="I33" s="7"/>
    </row>
    <row r="34" spans="1:9" ht="45.75" customHeight="1" x14ac:dyDescent="0.35">
      <c r="A34" s="3">
        <v>33</v>
      </c>
      <c r="B34" s="4" t="s">
        <v>149</v>
      </c>
      <c r="C34" s="4" t="s">
        <v>150</v>
      </c>
      <c r="D34" s="9" t="s">
        <v>116</v>
      </c>
      <c r="E34" s="6" t="s">
        <v>151</v>
      </c>
      <c r="F34" s="7" t="s">
        <v>152</v>
      </c>
      <c r="G34" s="7" t="s">
        <v>153</v>
      </c>
      <c r="H34" s="4" t="s">
        <v>15</v>
      </c>
      <c r="I34" s="7"/>
    </row>
    <row r="35" spans="1:9" ht="45.75" customHeight="1" x14ac:dyDescent="0.35">
      <c r="A35" s="3">
        <v>34</v>
      </c>
      <c r="B35" s="4" t="s">
        <v>154</v>
      </c>
      <c r="C35" s="4" t="s">
        <v>150</v>
      </c>
      <c r="D35" s="9" t="s">
        <v>116</v>
      </c>
      <c r="E35" s="6" t="s">
        <v>155</v>
      </c>
      <c r="F35" s="7" t="s">
        <v>156</v>
      </c>
      <c r="G35" s="7" t="s">
        <v>157</v>
      </c>
      <c r="H35" s="4" t="s">
        <v>15</v>
      </c>
      <c r="I35" s="7"/>
    </row>
    <row r="36" spans="1:9" ht="45.75" customHeight="1" x14ac:dyDescent="0.35">
      <c r="A36" s="3">
        <v>35</v>
      </c>
      <c r="B36" s="4" t="s">
        <v>158</v>
      </c>
      <c r="C36" s="4" t="s">
        <v>150</v>
      </c>
      <c r="D36" s="9" t="s">
        <v>116</v>
      </c>
      <c r="E36" s="6" t="s">
        <v>159</v>
      </c>
      <c r="F36" s="7" t="s">
        <v>160</v>
      </c>
      <c r="G36" s="7" t="s">
        <v>161</v>
      </c>
      <c r="H36" s="4" t="s">
        <v>15</v>
      </c>
      <c r="I36" s="7"/>
    </row>
    <row r="37" spans="1:9" ht="45.75" customHeight="1" x14ac:dyDescent="0.35">
      <c r="A37" s="3">
        <v>36</v>
      </c>
      <c r="B37" s="4" t="s">
        <v>162</v>
      </c>
      <c r="C37" s="4" t="s">
        <v>150</v>
      </c>
      <c r="D37" s="9" t="s">
        <v>116</v>
      </c>
      <c r="E37" s="6" t="s">
        <v>163</v>
      </c>
      <c r="F37" s="7" t="s">
        <v>164</v>
      </c>
      <c r="G37" s="7" t="s">
        <v>165</v>
      </c>
      <c r="H37" s="4" t="s">
        <v>15</v>
      </c>
      <c r="I37" s="7"/>
    </row>
    <row r="38" spans="1:9" ht="45.75" customHeight="1" x14ac:dyDescent="0.35">
      <c r="A38" s="3">
        <v>37</v>
      </c>
      <c r="B38" s="4" t="s">
        <v>166</v>
      </c>
      <c r="C38" s="4" t="s">
        <v>167</v>
      </c>
      <c r="D38" s="10" t="s">
        <v>168</v>
      </c>
      <c r="E38" s="6" t="s">
        <v>169</v>
      </c>
      <c r="F38" s="7" t="s">
        <v>170</v>
      </c>
      <c r="G38" s="7" t="s">
        <v>171</v>
      </c>
      <c r="H38" s="4" t="s">
        <v>15</v>
      </c>
      <c r="I38" s="7"/>
    </row>
    <row r="39" spans="1:9" ht="45.75" customHeight="1" x14ac:dyDescent="0.35">
      <c r="A39" s="3">
        <v>38</v>
      </c>
      <c r="B39" s="4" t="s">
        <v>172</v>
      </c>
      <c r="C39" s="4" t="s">
        <v>167</v>
      </c>
      <c r="D39" s="10" t="s">
        <v>168</v>
      </c>
      <c r="E39" s="6" t="s">
        <v>173</v>
      </c>
      <c r="F39" s="7" t="s">
        <v>174</v>
      </c>
      <c r="G39" s="7" t="s">
        <v>175</v>
      </c>
      <c r="H39" s="4" t="s">
        <v>15</v>
      </c>
      <c r="I39" s="7"/>
    </row>
    <row r="40" spans="1:9" ht="45.75" customHeight="1" x14ac:dyDescent="0.35">
      <c r="A40" s="3">
        <v>39</v>
      </c>
      <c r="B40" s="4" t="s">
        <v>176</v>
      </c>
      <c r="C40" s="4" t="s">
        <v>167</v>
      </c>
      <c r="D40" s="10" t="s">
        <v>168</v>
      </c>
      <c r="E40" s="6" t="s">
        <v>177</v>
      </c>
      <c r="F40" s="7" t="s">
        <v>178</v>
      </c>
      <c r="G40" s="7" t="s">
        <v>179</v>
      </c>
      <c r="H40" s="4" t="s">
        <v>15</v>
      </c>
      <c r="I40" s="7"/>
    </row>
    <row r="41" spans="1:9" ht="45.75" customHeight="1" x14ac:dyDescent="0.35">
      <c r="A41" s="3">
        <v>40</v>
      </c>
      <c r="B41" s="4" t="s">
        <v>180</v>
      </c>
      <c r="C41" s="4" t="s">
        <v>167</v>
      </c>
      <c r="D41" s="10" t="s">
        <v>168</v>
      </c>
      <c r="E41" s="6" t="s">
        <v>181</v>
      </c>
      <c r="F41" s="7" t="s">
        <v>182</v>
      </c>
      <c r="G41" s="7" t="s">
        <v>183</v>
      </c>
      <c r="H41" s="4" t="s">
        <v>15</v>
      </c>
      <c r="I41" s="7"/>
    </row>
    <row r="42" spans="1:9" ht="45.75" customHeight="1" x14ac:dyDescent="0.35">
      <c r="A42" s="3">
        <v>41</v>
      </c>
      <c r="B42" s="4" t="s">
        <v>184</v>
      </c>
      <c r="C42" s="4" t="s">
        <v>185</v>
      </c>
      <c r="D42" s="10" t="s">
        <v>168</v>
      </c>
      <c r="E42" s="6" t="s">
        <v>186</v>
      </c>
      <c r="F42" s="7" t="s">
        <v>187</v>
      </c>
      <c r="G42" s="7" t="s">
        <v>188</v>
      </c>
      <c r="H42" s="4" t="s">
        <v>15</v>
      </c>
      <c r="I42" s="7"/>
    </row>
    <row r="43" spans="1:9" ht="45.75" customHeight="1" x14ac:dyDescent="0.35">
      <c r="A43" s="3">
        <v>42</v>
      </c>
      <c r="B43" s="4" t="s">
        <v>189</v>
      </c>
      <c r="C43" s="4" t="s">
        <v>185</v>
      </c>
      <c r="D43" s="10" t="s">
        <v>168</v>
      </c>
      <c r="E43" s="6" t="s">
        <v>190</v>
      </c>
      <c r="F43" s="7" t="s">
        <v>191</v>
      </c>
      <c r="G43" s="7" t="s">
        <v>192</v>
      </c>
      <c r="H43" s="4" t="s">
        <v>15</v>
      </c>
      <c r="I43" s="7"/>
    </row>
    <row r="44" spans="1:9" ht="45.75" customHeight="1" x14ac:dyDescent="0.35">
      <c r="A44" s="3">
        <v>43</v>
      </c>
      <c r="B44" s="4" t="s">
        <v>193</v>
      </c>
      <c r="C44" s="4" t="s">
        <v>185</v>
      </c>
      <c r="D44" s="10" t="s">
        <v>168</v>
      </c>
      <c r="E44" s="6" t="s">
        <v>194</v>
      </c>
      <c r="F44" s="7" t="s">
        <v>195</v>
      </c>
      <c r="G44" s="7" t="s">
        <v>196</v>
      </c>
      <c r="H44" s="4" t="s">
        <v>15</v>
      </c>
      <c r="I44" s="7"/>
    </row>
    <row r="45" spans="1:9" ht="45.75" customHeight="1" x14ac:dyDescent="0.35">
      <c r="A45" s="3">
        <v>44</v>
      </c>
      <c r="B45" s="4" t="s">
        <v>197</v>
      </c>
      <c r="C45" s="4" t="s">
        <v>185</v>
      </c>
      <c r="D45" s="10" t="s">
        <v>168</v>
      </c>
      <c r="E45" s="6" t="s">
        <v>198</v>
      </c>
      <c r="F45" s="7" t="s">
        <v>199</v>
      </c>
      <c r="G45" s="7" t="s">
        <v>200</v>
      </c>
      <c r="H45" s="4" t="s">
        <v>15</v>
      </c>
      <c r="I45" s="7"/>
    </row>
    <row r="46" spans="1:9" ht="45.75" customHeight="1" x14ac:dyDescent="0.35">
      <c r="A46" s="3">
        <v>45</v>
      </c>
      <c r="B46" s="4" t="s">
        <v>201</v>
      </c>
      <c r="C46" s="4" t="s">
        <v>202</v>
      </c>
      <c r="D46" s="10" t="s">
        <v>168</v>
      </c>
      <c r="E46" s="6" t="s">
        <v>203</v>
      </c>
      <c r="F46" s="7" t="s">
        <v>204</v>
      </c>
      <c r="G46" s="7" t="s">
        <v>205</v>
      </c>
      <c r="H46" s="4" t="s">
        <v>15</v>
      </c>
      <c r="I46" s="7"/>
    </row>
    <row r="47" spans="1:9" ht="45.75" customHeight="1" x14ac:dyDescent="0.35">
      <c r="A47" s="3">
        <v>46</v>
      </c>
      <c r="B47" s="4" t="s">
        <v>206</v>
      </c>
      <c r="C47" s="4" t="s">
        <v>202</v>
      </c>
      <c r="D47" s="10" t="s">
        <v>168</v>
      </c>
      <c r="E47" s="6" t="s">
        <v>207</v>
      </c>
      <c r="F47" s="7" t="s">
        <v>208</v>
      </c>
      <c r="G47" s="7" t="s">
        <v>209</v>
      </c>
      <c r="H47" s="4" t="s">
        <v>15</v>
      </c>
      <c r="I47" s="7"/>
    </row>
    <row r="48" spans="1:9" ht="45.75" customHeight="1" x14ac:dyDescent="0.35">
      <c r="A48" s="3">
        <v>47</v>
      </c>
      <c r="B48" s="4" t="s">
        <v>210</v>
      </c>
      <c r="C48" s="4" t="s">
        <v>202</v>
      </c>
      <c r="D48" s="10" t="s">
        <v>168</v>
      </c>
      <c r="E48" s="6" t="s">
        <v>211</v>
      </c>
      <c r="F48" s="7" t="s">
        <v>212</v>
      </c>
      <c r="G48" s="7" t="s">
        <v>213</v>
      </c>
      <c r="H48" s="4" t="s">
        <v>15</v>
      </c>
      <c r="I48" s="7"/>
    </row>
    <row r="49" spans="1:9" ht="45.75" customHeight="1" x14ac:dyDescent="0.35">
      <c r="A49" s="3">
        <v>48</v>
      </c>
      <c r="B49" s="4" t="s">
        <v>214</v>
      </c>
      <c r="C49" s="4" t="s">
        <v>202</v>
      </c>
      <c r="D49" s="10" t="s">
        <v>168</v>
      </c>
      <c r="E49" s="6" t="s">
        <v>215</v>
      </c>
      <c r="F49" s="7" t="s">
        <v>216</v>
      </c>
      <c r="G49" s="7" t="s">
        <v>217</v>
      </c>
      <c r="H49" s="4" t="s">
        <v>15</v>
      </c>
      <c r="I49" s="7"/>
    </row>
    <row r="50" spans="1:9" ht="45.75" customHeight="1" x14ac:dyDescent="0.35">
      <c r="A50" s="3">
        <v>49</v>
      </c>
      <c r="B50" s="4" t="s">
        <v>218</v>
      </c>
      <c r="C50" s="4" t="s">
        <v>202</v>
      </c>
      <c r="D50" s="10" t="s">
        <v>168</v>
      </c>
      <c r="E50" s="6" t="s">
        <v>219</v>
      </c>
      <c r="F50" s="7" t="s">
        <v>220</v>
      </c>
      <c r="G50" s="7" t="s">
        <v>221</v>
      </c>
      <c r="H50" s="4" t="s">
        <v>15</v>
      </c>
      <c r="I50" s="7"/>
    </row>
    <row r="51" spans="1:9" ht="45.75" customHeight="1" x14ac:dyDescent="0.35">
      <c r="A51" s="3">
        <v>50</v>
      </c>
      <c r="B51" s="4" t="s">
        <v>222</v>
      </c>
      <c r="C51" s="4" t="s">
        <v>202</v>
      </c>
      <c r="D51" s="10" t="s">
        <v>168</v>
      </c>
      <c r="E51" s="6" t="s">
        <v>223</v>
      </c>
      <c r="F51" s="7" t="s">
        <v>224</v>
      </c>
      <c r="G51" s="7" t="s">
        <v>225</v>
      </c>
      <c r="H51" s="4" t="s">
        <v>15</v>
      </c>
      <c r="I51" s="7"/>
    </row>
    <row r="52" spans="1:9" ht="45.75" customHeight="1" x14ac:dyDescent="0.35">
      <c r="A52" s="3">
        <v>51</v>
      </c>
      <c r="B52" s="4" t="s">
        <v>226</v>
      </c>
      <c r="C52" s="4" t="s">
        <v>202</v>
      </c>
      <c r="D52" s="10" t="s">
        <v>168</v>
      </c>
      <c r="E52" s="6" t="s">
        <v>227</v>
      </c>
      <c r="F52" s="7" t="s">
        <v>228</v>
      </c>
      <c r="G52" s="7" t="s">
        <v>229</v>
      </c>
      <c r="H52" s="4" t="s">
        <v>15</v>
      </c>
      <c r="I52" s="7"/>
    </row>
    <row r="53" spans="1:9" ht="45.75" customHeight="1" x14ac:dyDescent="0.35">
      <c r="A53" s="3">
        <v>52</v>
      </c>
      <c r="B53" s="4" t="s">
        <v>230</v>
      </c>
      <c r="C53" s="4" t="s">
        <v>202</v>
      </c>
      <c r="D53" s="10" t="s">
        <v>168</v>
      </c>
      <c r="E53" s="6" t="s">
        <v>231</v>
      </c>
      <c r="F53" s="7" t="s">
        <v>232</v>
      </c>
      <c r="G53" s="7" t="s">
        <v>233</v>
      </c>
      <c r="H53" s="4" t="s">
        <v>15</v>
      </c>
      <c r="I53" s="7"/>
    </row>
  </sheetData>
  <dataValidations count="1">
    <dataValidation type="list" allowBlank="1" sqref="H2:H53" xr:uid="{00000000-0002-0000-0000-000000000000}">
      <formula1>"Not Started,In Progress,Completed,Blocked"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showGridLines="0" tabSelected="1" zoomScaleNormal="100" workbookViewId="0">
      <selection activeCell="B3" sqref="B3"/>
    </sheetView>
  </sheetViews>
  <sheetFormatPr defaultColWidth="8.6328125" defaultRowHeight="14.5" x14ac:dyDescent="0.35"/>
  <cols>
    <col min="1" max="1" width="24" customWidth="1"/>
    <col min="2" max="2" width="14" customWidth="1"/>
    <col min="4" max="4" width="34" customWidth="1"/>
    <col min="5" max="5" width="14" customWidth="1"/>
  </cols>
  <sheetData>
    <row r="1" spans="1:5" ht="20" x14ac:dyDescent="0.4">
      <c r="A1" s="1" t="s">
        <v>234</v>
      </c>
      <c r="B1" s="1"/>
      <c r="C1" s="1"/>
      <c r="D1" s="1"/>
    </row>
    <row r="2" spans="1:5" x14ac:dyDescent="0.35">
      <c r="A2" s="11" t="s">
        <v>235</v>
      </c>
      <c r="B2" s="11" t="s">
        <v>236</v>
      </c>
      <c r="D2" s="11" t="s">
        <v>3</v>
      </c>
      <c r="E2" s="11" t="s">
        <v>237</v>
      </c>
    </row>
    <row r="3" spans="1:5" x14ac:dyDescent="0.35">
      <c r="A3" s="12" t="s">
        <v>238</v>
      </c>
      <c r="B3" s="12">
        <f>COUNTA('Weekly Tracker'!A2:A53)</f>
        <v>52</v>
      </c>
      <c r="D3" s="12" t="s">
        <v>11</v>
      </c>
      <c r="E3" s="13">
        <f>IFERROR(COUNTIFS('Weekly Tracker'!D2:D53,"Phase 1: Engineering Foundations",'Weekly Tracker'!H2:H53,"Completed")/COUNTIF('Weekly Tracker'!D2:D53,"Phase 1: Engineering Foundations"),0)</f>
        <v>0</v>
      </c>
    </row>
    <row r="4" spans="1:5" x14ac:dyDescent="0.35">
      <c r="A4" s="12" t="s">
        <v>239</v>
      </c>
      <c r="B4" s="12">
        <f>COUNTIF('Weekly Tracker'!H2:H53,"Completed")</f>
        <v>0</v>
      </c>
      <c r="D4" s="12" t="s">
        <v>64</v>
      </c>
      <c r="E4" s="13">
        <f>IFERROR(COUNTIFS('Weekly Tracker'!D2:D53,"Phase 2: Automation Engineering",'Weekly Tracker'!H2:H53,"Completed")/COUNTIF('Weekly Tracker'!D2:D53,"Phase 2: Automation Engineering"),0)</f>
        <v>0</v>
      </c>
    </row>
    <row r="5" spans="1:5" x14ac:dyDescent="0.35">
      <c r="A5" s="12" t="s">
        <v>240</v>
      </c>
      <c r="B5" s="12">
        <f>COUNTIF('Weekly Tracker'!H2:H53,"In Progress")</f>
        <v>1</v>
      </c>
      <c r="D5" s="12" t="s">
        <v>116</v>
      </c>
      <c r="E5" s="13">
        <f>IFERROR(COUNTIFS('Weekly Tracker'!D2:D53,"Phase 3: Performance, Security, DB Depth",'Weekly Tracker'!H2:H53,"Completed")/COUNTIF('Weekly Tracker'!D2:D53,"Phase 3: Performance, Security, DB Depth"),0)</f>
        <v>0</v>
      </c>
    </row>
    <row r="6" spans="1:5" x14ac:dyDescent="0.35">
      <c r="A6" s="12" t="s">
        <v>15</v>
      </c>
      <c r="B6" s="12">
        <f>COUNTIF('Weekly Tracker'!H2:H53,"Not Started")</f>
        <v>51</v>
      </c>
      <c r="D6" s="12" t="s">
        <v>168</v>
      </c>
      <c r="E6" s="13">
        <f>IFERROR(COUNTIFS('Weekly Tracker'!D2:D53,"Phase 4: AI-Native QA + Portfolio",'Weekly Tracker'!H2:H53,"Completed")/COUNTIF('Weekly Tracker'!D2:D53,"Phase 4: AI-Native QA + Portfolio"),0)</f>
        <v>0</v>
      </c>
    </row>
    <row r="7" spans="1:5" x14ac:dyDescent="0.35">
      <c r="A7" s="12" t="s">
        <v>241</v>
      </c>
      <c r="B7" s="12">
        <f>COUNTIF('Weekly Tracker'!H2:H53,"Blocked")</f>
        <v>0</v>
      </c>
    </row>
    <row r="8" spans="1:5" x14ac:dyDescent="0.35">
      <c r="A8" s="12" t="s">
        <v>242</v>
      </c>
      <c r="B8" s="14">
        <f>B4/B3</f>
        <v>0</v>
      </c>
    </row>
    <row r="10" spans="1:5" x14ac:dyDescent="0.35">
      <c r="A10" s="15" t="s">
        <v>243</v>
      </c>
    </row>
    <row r="11" spans="1:5" x14ac:dyDescent="0.35">
      <c r="A11" s="15" t="s">
        <v>244</v>
      </c>
    </row>
  </sheetData>
  <sheetProtection algorithmName="SHA-512" hashValue="nPLNsugZ4R7uhrkvRoqC6grSRxWEyH3NyGW34DDcP8ZD7OSzyocj9GATz9tOr5QjiV2bwuqNggg2S7JeGPpI+g==" saltValue="zKfrkIr//O759y7xu2Pk2w==" spinCount="100000" sheet="1" objects="1" scenarios="1"/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Weekly Tracker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Bijoy Biswas</cp:lastModifiedBy>
  <cp:revision>0</cp:revision>
  <dcterms:created xsi:type="dcterms:W3CDTF">2026-07-11T15:30:05Z</dcterms:created>
  <dcterms:modified xsi:type="dcterms:W3CDTF">2026-07-11T16:10:23Z</dcterms:modified>
  <dc:language>en-US</dc:language>
</cp:coreProperties>
</file>